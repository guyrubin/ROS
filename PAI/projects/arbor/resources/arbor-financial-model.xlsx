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€#,##0.00;(€#,##0.00);&quot;-&quot;"/>
    <numFmt numFmtId="166" formatCode="€#,##0;(€#,##0);&quot;-&quot;"/>
    <numFmt numFmtId="167" formatCode="0.0%;(0.0%);&quot;-&quot;"/>
    <numFmt numFmtId="168" formatCode="0.00x"/>
  </numFmts>
  <fonts count="9">
    <font>
      <name val="Calibri"/>
      <family val="2"/>
      <color theme="1"/>
      <sz val="11"/>
      <scheme val="minor"/>
    </font>
    <font>
      <name val="Arial"/>
      <b val="1"/>
      <color rgb="001F4E2C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4E2C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2C"/>
      </patternFill>
    </fill>
    <fill>
      <patternFill patternType="solid">
        <fgColor rgb="00E3EF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top style="thin">
        <color rgb="00888888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6" fillId="4" borderId="0" pivotButton="0" quotePrefix="0" xfId="0"/>
    <xf numFmtId="165" fontId="6" fillId="4" borderId="0" pivotButton="0" quotePrefix="0" xfId="0"/>
    <xf numFmtId="166" fontId="6" fillId="4" borderId="0" pivotButton="0" quotePrefix="0" xfId="0"/>
    <xf numFmtId="167" fontId="6" fillId="4" borderId="0" pivotButton="0" quotePrefix="0" xfId="0"/>
    <xf numFmtId="166" fontId="7" fillId="0" borderId="0" pivotButton="0" quotePrefix="0" xfId="0"/>
    <xf numFmtId="0" fontId="8" fillId="0" borderId="0" pivotButton="0" quotePrefix="0" xfId="0"/>
    <xf numFmtId="166" fontId="8" fillId="0" borderId="1" pivotButton="0" quotePrefix="0" xfId="0"/>
    <xf numFmtId="166" fontId="5" fillId="0" borderId="0" pivotButton="0" quotePrefix="0" xfId="0"/>
    <xf numFmtId="166" fontId="8" fillId="0" borderId="0" pivotButton="0" quotePrefix="0" xfId="0"/>
    <xf numFmtId="167" fontId="5" fillId="0" borderId="0" pivotButton="0" quotePrefix="0" xfId="0"/>
    <xf numFmtId="168" fontId="6" fillId="4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30" customWidth="1" min="6" max="6"/>
  </cols>
  <sheetData>
    <row r="1">
      <c r="A1" s="1" t="inlineStr">
        <is>
          <t>Arbor — Financial Model</t>
        </is>
      </c>
    </row>
    <row r="2">
      <c r="A2" s="2" t="inlineStr">
        <is>
          <t>Base case. Blue cells = editable inputs. All currency in € thousands (€000) unless noted /mo.</t>
        </is>
      </c>
    </row>
    <row r="3">
      <c r="A3" s="2" t="inlineStr">
        <is>
          <t>v1.0 · 2026-06-07 · PAI / Arbor · companion to arbor-business-model-pricing-and-financials.md</t>
        </is>
      </c>
    </row>
    <row r="5">
      <c r="A5" s="3" t="n"/>
      <c r="B5" s="4" t="inlineStr">
        <is>
          <t>Y1 2026</t>
        </is>
      </c>
      <c r="C5" s="4" t="inlineStr">
        <is>
          <t>Y2 2027</t>
        </is>
      </c>
      <c r="D5" s="4" t="inlineStr">
        <is>
          <t>Y3 2028</t>
        </is>
      </c>
    </row>
    <row r="6">
      <c r="A6" s="5" t="inlineStr">
        <is>
          <t>B2C — Consumer subscription</t>
        </is>
      </c>
      <c r="B6" s="6" t="n"/>
      <c r="C6" s="6" t="n"/>
      <c r="D6" s="6" t="n"/>
    </row>
    <row r="7">
      <c r="A7" s="7" t="inlineStr">
        <is>
          <t>Avg paying subscribers</t>
        </is>
      </c>
      <c r="B7" s="8" t="n">
        <v>1500</v>
      </c>
      <c r="C7" s="8" t="n">
        <v>9000</v>
      </c>
      <c r="D7" s="8" t="n">
        <v>38000</v>
      </c>
    </row>
    <row r="8">
      <c r="A8" s="7" t="inlineStr">
        <is>
          <t>Blended ARPU (€/mo)</t>
        </is>
      </c>
      <c r="B8" s="9" t="n">
        <v>11</v>
      </c>
      <c r="C8" s="9" t="n">
        <v>11</v>
      </c>
      <c r="D8" s="9" t="n">
        <v>11.5</v>
      </c>
    </row>
    <row r="9">
      <c r="A9" s="7" t="inlineStr">
        <is>
          <t>Fully-loaded COGS per paying user (€/mo)</t>
        </is>
      </c>
      <c r="B9" s="9" t="n">
        <v>1.4</v>
      </c>
      <c r="C9" s="9" t="n">
        <v>1.5</v>
      </c>
      <c r="D9" s="9" t="n">
        <v>1.6</v>
      </c>
      <c r="F9" s="2" t="inlineStr">
        <is>
          <t>AI (Claude+Gemini) + infra + Stripe</t>
        </is>
      </c>
    </row>
    <row r="10">
      <c r="A10" s="5" t="inlineStr">
        <is>
          <t>Professional — seats</t>
        </is>
      </c>
      <c r="B10" s="6" t="n"/>
      <c r="C10" s="6" t="n"/>
      <c r="D10" s="6" t="n"/>
    </row>
    <row r="11">
      <c r="A11" s="7" t="inlineStr">
        <is>
          <t>Avg active seats</t>
        </is>
      </c>
      <c r="B11" s="8" t="n">
        <v>20</v>
      </c>
      <c r="C11" s="8" t="n">
        <v>140</v>
      </c>
      <c r="D11" s="8" t="n">
        <v>480</v>
      </c>
    </row>
    <row r="12">
      <c r="A12" s="7" t="inlineStr">
        <is>
          <t>Price per seat (€/mo)</t>
        </is>
      </c>
      <c r="B12" s="10" t="n">
        <v>45</v>
      </c>
      <c r="C12" s="10" t="n">
        <v>45</v>
      </c>
      <c r="D12" s="10" t="n">
        <v>45</v>
      </c>
    </row>
    <row r="13">
      <c r="A13" s="7" t="inlineStr">
        <is>
          <t>COGS per seat (€/mo)</t>
        </is>
      </c>
      <c r="B13" s="10" t="n">
        <v>4</v>
      </c>
      <c r="C13" s="10" t="n">
        <v>4</v>
      </c>
      <c r="D13" s="10" t="n">
        <v>4</v>
      </c>
    </row>
    <row r="14">
      <c r="A14" s="5" t="inlineStr">
        <is>
          <t>Institutional — B2B2C / B2G</t>
        </is>
      </c>
      <c r="B14" s="6" t="n"/>
      <c r="C14" s="6" t="n"/>
      <c r="D14" s="6" t="n"/>
    </row>
    <row r="15">
      <c r="A15" s="7" t="inlineStr">
        <is>
          <t>Avg active subsidised families</t>
        </is>
      </c>
      <c r="B15" s="8" t="n">
        <v>0</v>
      </c>
      <c r="C15" s="8" t="n">
        <v>1500</v>
      </c>
      <c r="D15" s="8" t="n">
        <v>12000</v>
      </c>
    </row>
    <row r="16">
      <c r="A16" s="7" t="inlineStr">
        <is>
          <t>ARPF (€/mo)</t>
        </is>
      </c>
      <c r="B16" s="9" t="n">
        <v>0</v>
      </c>
      <c r="C16" s="9" t="n">
        <v>5</v>
      </c>
      <c r="D16" s="9" t="n">
        <v>5.5</v>
      </c>
    </row>
    <row r="17">
      <c r="A17" s="7" t="inlineStr">
        <is>
          <t>Pilot &amp; setup fees (€000/yr)</t>
        </is>
      </c>
      <c r="B17" s="10" t="n">
        <v>30</v>
      </c>
      <c r="C17" s="10" t="n">
        <v>30</v>
      </c>
      <c r="D17" s="10" t="n">
        <v>0</v>
      </c>
      <c r="F17" s="2" t="inlineStr">
        <is>
          <t>Fixed-fee cohort pilots</t>
        </is>
      </c>
    </row>
    <row r="18">
      <c r="A18" s="7" t="inlineStr">
        <is>
          <t>Institutional COGS (% of recurring)</t>
        </is>
      </c>
      <c r="B18" s="11" t="n">
        <v>0.15</v>
      </c>
      <c r="C18" s="11" t="n">
        <v>0.15</v>
      </c>
      <c r="D18" s="11" t="n">
        <v>0.15</v>
      </c>
    </row>
    <row r="19">
      <c r="A19" s="5" t="inlineStr">
        <is>
          <t>Operating costs (€000)</t>
        </is>
      </c>
      <c r="B19" s="6" t="n"/>
      <c r="C19" s="6" t="n"/>
      <c r="D19" s="6" t="n"/>
    </row>
    <row r="20">
      <c r="A20" s="7" t="inlineStr">
        <is>
          <t>Team (loaded, NL/IL blend)</t>
        </is>
      </c>
      <c r="B20" s="10" t="n">
        <v>295</v>
      </c>
      <c r="C20" s="10" t="n">
        <v>750</v>
      </c>
      <c r="D20" s="10" t="n">
        <v>1600</v>
      </c>
    </row>
    <row r="21">
      <c r="A21" s="7" t="inlineStr">
        <is>
          <t>Sales &amp; marketing</t>
        </is>
      </c>
      <c r="B21" s="10" t="n">
        <v>20</v>
      </c>
      <c r="C21" s="10" t="n">
        <v>180</v>
      </c>
      <c r="D21" s="10" t="n">
        <v>500</v>
      </c>
    </row>
    <row r="22">
      <c r="A22" s="7" t="inlineStr">
        <is>
          <t>Compliance / security / legal</t>
        </is>
      </c>
      <c r="B22" s="10" t="n">
        <v>30</v>
      </c>
      <c r="C22" s="10" t="n">
        <v>60</v>
      </c>
      <c r="D22" s="10" t="n">
        <v>120</v>
      </c>
    </row>
    <row r="23">
      <c r="A23" s="7" t="inlineStr">
        <is>
          <t>Content / expert review / localisation</t>
        </is>
      </c>
      <c r="B23" s="10" t="n">
        <v>25</v>
      </c>
      <c r="C23" s="10" t="n">
        <v>60</v>
      </c>
      <c r="D23" s="10" t="n">
        <v>150</v>
      </c>
    </row>
    <row r="24">
      <c r="A24" s="7" t="inlineStr">
        <is>
          <t>G&amp;A / tooling / SaaS</t>
        </is>
      </c>
      <c r="B24" s="10" t="n">
        <v>15</v>
      </c>
      <c r="C24" s="10" t="n">
        <v>60</v>
      </c>
      <c r="D24" s="10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Arbor — 3-Year P&amp;L (€000)</t>
        </is>
      </c>
    </row>
    <row r="2">
      <c r="A2" s="2" t="inlineStr">
        <is>
          <t>Black = formula · Green = link to Assumptions. Re-forecast monthly off real analytics.</t>
        </is>
      </c>
    </row>
    <row r="4">
      <c r="A4" s="3" t="n"/>
      <c r="B4" s="4" t="inlineStr">
        <is>
          <t>Y1 2026</t>
        </is>
      </c>
      <c r="C4" s="4" t="inlineStr">
        <is>
          <t>Y2 2027</t>
        </is>
      </c>
      <c r="D4" s="4" t="inlineStr">
        <is>
          <t>Y3 2028</t>
        </is>
      </c>
    </row>
    <row r="5">
      <c r="A5" s="5" t="inlineStr">
        <is>
          <t>Revenue</t>
        </is>
      </c>
      <c r="B5" s="6" t="n"/>
      <c r="C5" s="6" t="n"/>
      <c r="D5" s="6" t="n"/>
    </row>
    <row r="6">
      <c r="A6" s="7" t="inlineStr">
        <is>
          <t>B2C subscription</t>
        </is>
      </c>
      <c r="B6" s="12">
        <f>Assumptions!B7*Assumptions!B8*12/1000</f>
        <v/>
      </c>
      <c r="C6" s="12">
        <f>Assumptions!C7*Assumptions!C8*12/1000</f>
        <v/>
      </c>
      <c r="D6" s="12">
        <f>Assumptions!D7*Assumptions!D8*12/1000</f>
        <v/>
      </c>
    </row>
    <row r="7">
      <c r="A7" s="7" t="inlineStr">
        <is>
          <t>Professional seats</t>
        </is>
      </c>
      <c r="B7" s="12">
        <f>Assumptions!B11*Assumptions!B12*12/1000</f>
        <v/>
      </c>
      <c r="C7" s="12">
        <f>Assumptions!C11*Assumptions!C12*12/1000</f>
        <v/>
      </c>
      <c r="D7" s="12">
        <f>Assumptions!D11*Assumptions!D12*12/1000</f>
        <v/>
      </c>
    </row>
    <row r="8">
      <c r="A8" s="7" t="inlineStr">
        <is>
          <t>Institutional recurring</t>
        </is>
      </c>
      <c r="B8" s="12">
        <f>Assumptions!B15*Assumptions!B16*12/1000</f>
        <v/>
      </c>
      <c r="C8" s="12">
        <f>Assumptions!C15*Assumptions!C16*12/1000</f>
        <v/>
      </c>
      <c r="D8" s="12">
        <f>Assumptions!D15*Assumptions!D16*12/1000</f>
        <v/>
      </c>
    </row>
    <row r="9">
      <c r="A9" s="7" t="inlineStr">
        <is>
          <t>Institutional pilot/setup fees</t>
        </is>
      </c>
      <c r="B9" s="12">
        <f>Assumptions!B17</f>
        <v/>
      </c>
      <c r="C9" s="12">
        <f>Assumptions!C17</f>
        <v/>
      </c>
      <c r="D9" s="12">
        <f>Assumptions!D17</f>
        <v/>
      </c>
    </row>
    <row r="10">
      <c r="A10" s="13" t="inlineStr">
        <is>
          <t>Total revenue</t>
        </is>
      </c>
      <c r="B10" s="14">
        <f>SUM(B6:B9)</f>
        <v/>
      </c>
      <c r="C10" s="14">
        <f>SUM(C6:C9)</f>
        <v/>
      </c>
      <c r="D10" s="14">
        <f>SUM(D6:D9)</f>
        <v/>
      </c>
    </row>
    <row r="12">
      <c r="A12" s="5" t="inlineStr">
        <is>
          <t>Cost of goods sold</t>
        </is>
      </c>
      <c r="B12" s="6" t="n"/>
      <c r="C12" s="6" t="n"/>
      <c r="D12" s="6" t="n"/>
    </row>
    <row r="13">
      <c r="A13" s="7" t="inlineStr">
        <is>
          <t>B2C COGS</t>
        </is>
      </c>
      <c r="B13" s="12">
        <f>Assumptions!B7*Assumptions!B9*12/1000</f>
        <v/>
      </c>
      <c r="C13" s="12">
        <f>Assumptions!C7*Assumptions!C9*12/1000</f>
        <v/>
      </c>
      <c r="D13" s="12">
        <f>Assumptions!D7*Assumptions!D9*12/1000</f>
        <v/>
      </c>
    </row>
    <row r="14">
      <c r="A14" s="7" t="inlineStr">
        <is>
          <t>Professional COGS</t>
        </is>
      </c>
      <c r="B14" s="12">
        <f>Assumptions!B11*Assumptions!B13*12/1000</f>
        <v/>
      </c>
      <c r="C14" s="12">
        <f>Assumptions!C11*Assumptions!C13*12/1000</f>
        <v/>
      </c>
      <c r="D14" s="12">
        <f>Assumptions!D11*Assumptions!D13*12/1000</f>
        <v/>
      </c>
    </row>
    <row r="15">
      <c r="A15" s="7" t="inlineStr">
        <is>
          <t>Institutional COGS</t>
        </is>
      </c>
      <c r="B15" s="15">
        <f>B8*Assumptions!B18</f>
        <v/>
      </c>
      <c r="C15" s="15">
        <f>C8*Assumptions!C18</f>
        <v/>
      </c>
      <c r="D15" s="15">
        <f>D8*Assumptions!D18</f>
        <v/>
      </c>
    </row>
    <row r="16">
      <c r="A16" s="13" t="inlineStr">
        <is>
          <t>Total COGS</t>
        </is>
      </c>
      <c r="B16" s="14">
        <f>SUM(B13:B15)</f>
        <v/>
      </c>
      <c r="C16" s="14">
        <f>SUM(C13:C15)</f>
        <v/>
      </c>
      <c r="D16" s="14">
        <f>SUM(D13:D15)</f>
        <v/>
      </c>
    </row>
    <row r="17">
      <c r="A17" s="13" t="inlineStr">
        <is>
          <t>Gross profit</t>
        </is>
      </c>
      <c r="B17" s="16">
        <f>B10-B16</f>
        <v/>
      </c>
      <c r="C17" s="16">
        <f>C10-C16</f>
        <v/>
      </c>
      <c r="D17" s="16">
        <f>D10-D16</f>
        <v/>
      </c>
    </row>
    <row r="18">
      <c r="A18" s="7" t="inlineStr">
        <is>
          <t>Gross margin %</t>
        </is>
      </c>
      <c r="B18" s="17">
        <f>B17/B10</f>
        <v/>
      </c>
      <c r="C18" s="17">
        <f>C17/C10</f>
        <v/>
      </c>
      <c r="D18" s="17">
        <f>D17/D10</f>
        <v/>
      </c>
    </row>
    <row r="20">
      <c r="A20" s="5" t="inlineStr">
        <is>
          <t>Operating expenses</t>
        </is>
      </c>
      <c r="B20" s="6" t="n"/>
      <c r="C20" s="6" t="n"/>
      <c r="D20" s="6" t="n"/>
    </row>
    <row r="21">
      <c r="A21" s="7" t="inlineStr">
        <is>
          <t>Team</t>
        </is>
      </c>
      <c r="B21" s="12">
        <f>Assumptions!B20</f>
        <v/>
      </c>
      <c r="C21" s="12">
        <f>Assumptions!C20</f>
        <v/>
      </c>
      <c r="D21" s="12">
        <f>Assumptions!D20</f>
        <v/>
      </c>
    </row>
    <row r="22">
      <c r="A22" s="7" t="inlineStr">
        <is>
          <t>Sales &amp; marketing</t>
        </is>
      </c>
      <c r="B22" s="12">
        <f>Assumptions!B21</f>
        <v/>
      </c>
      <c r="C22" s="12">
        <f>Assumptions!C21</f>
        <v/>
      </c>
      <c r="D22" s="12">
        <f>Assumptions!D21</f>
        <v/>
      </c>
    </row>
    <row r="23">
      <c r="A23" s="7" t="inlineStr">
        <is>
          <t>Compliance / security / legal</t>
        </is>
      </c>
      <c r="B23" s="12">
        <f>Assumptions!B22</f>
        <v/>
      </c>
      <c r="C23" s="12">
        <f>Assumptions!C22</f>
        <v/>
      </c>
      <c r="D23" s="12">
        <f>Assumptions!D22</f>
        <v/>
      </c>
    </row>
    <row r="24">
      <c r="A24" s="7" t="inlineStr">
        <is>
          <t>Content / expert / localisation</t>
        </is>
      </c>
      <c r="B24" s="12">
        <f>Assumptions!B23</f>
        <v/>
      </c>
      <c r="C24" s="12">
        <f>Assumptions!C23</f>
        <v/>
      </c>
      <c r="D24" s="12">
        <f>Assumptions!D23</f>
        <v/>
      </c>
    </row>
    <row r="25">
      <c r="A25" s="7" t="inlineStr">
        <is>
          <t>G&amp;A / tooling</t>
        </is>
      </c>
      <c r="B25" s="12">
        <f>Assumptions!B24</f>
        <v/>
      </c>
      <c r="C25" s="12">
        <f>Assumptions!C24</f>
        <v/>
      </c>
      <c r="D25" s="12">
        <f>Assumptions!D24</f>
        <v/>
      </c>
    </row>
    <row r="26">
      <c r="A26" s="13" t="inlineStr">
        <is>
          <t>Total OpEx</t>
        </is>
      </c>
      <c r="B26" s="14">
        <f>SUM(B21:B25)</f>
        <v/>
      </c>
      <c r="C26" s="14">
        <f>SUM(C21:C25)</f>
        <v/>
      </c>
      <c r="D26" s="14">
        <f>SUM(D21:D25)</f>
        <v/>
      </c>
    </row>
    <row r="28">
      <c r="A28" s="5" t="inlineStr">
        <is>
          <t>Profitability</t>
        </is>
      </c>
      <c r="B28" s="6" t="n"/>
      <c r="C28" s="6" t="n"/>
      <c r="D28" s="6" t="n"/>
    </row>
    <row r="29">
      <c r="A29" s="13" t="inlineStr">
        <is>
          <t>EBITDA</t>
        </is>
      </c>
      <c r="B29" s="16">
        <f>B17-B26</f>
        <v/>
      </c>
      <c r="C29" s="16">
        <f>C17-C26</f>
        <v/>
      </c>
      <c r="D29" s="16">
        <f>D17-D26</f>
        <v/>
      </c>
    </row>
    <row r="30">
      <c r="A30" s="7" t="inlineStr">
        <is>
          <t>EBITDA margin %</t>
        </is>
      </c>
      <c r="B30" s="17">
        <f>B29/B10</f>
        <v/>
      </c>
      <c r="C30" s="17">
        <f>C29/C10</f>
        <v/>
      </c>
      <c r="D30" s="17">
        <f>D29/D10</f>
        <v/>
      </c>
    </row>
    <row r="31">
      <c r="A31" s="13" t="inlineStr">
        <is>
          <t>Cumulative EBITDA (cash proxy)</t>
        </is>
      </c>
      <c r="B31" s="16">
        <f>B29</f>
        <v/>
      </c>
      <c r="C31" s="16">
        <f>B31+C29</f>
        <v/>
      </c>
      <c r="D31" s="16">
        <f>C31+D29</f>
        <v/>
      </c>
    </row>
    <row r="33">
      <c r="A33" s="7" t="inlineStr">
        <is>
          <t>Peak cumulative cash need (€000)</t>
        </is>
      </c>
      <c r="B33" s="15">
        <f>-MIN(B31:D31)</f>
        <v/>
      </c>
      <c r="D33" s="2" t="inlineStr">
        <is>
          <t>Seed sizing carries buffer to €2.0–2.5M for slower institutional cycles.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Arbor — Year-3 Scenario Sensitivity (€000)</t>
        </is>
      </c>
    </row>
    <row r="2">
      <c r="A2" s="2" t="inlineStr">
        <is>
          <t>Illustrative. Factor scales Y3 base revenue &amp; COGS; OpEx held semi-fixed. Blue = input.</t>
        </is>
      </c>
    </row>
    <row r="4">
      <c r="A4" s="3" t="n"/>
      <c r="B4" s="4" t="inlineStr">
        <is>
          <t>Conservative</t>
        </is>
      </c>
      <c r="C4" s="4" t="inlineStr">
        <is>
          <t>Base</t>
        </is>
      </c>
      <c r="D4" s="4" t="inlineStr">
        <is>
          <t>Aggressive</t>
        </is>
      </c>
    </row>
    <row r="5">
      <c r="A5" s="7" t="inlineStr">
        <is>
          <t>Revenue factor vs base</t>
        </is>
      </c>
      <c r="B5" s="18" t="n">
        <v>0.62</v>
      </c>
      <c r="C5" s="18" t="n">
        <v>1</v>
      </c>
      <c r="D5" s="18" t="n">
        <v>1.5</v>
      </c>
    </row>
    <row r="6">
      <c r="A6" s="7" t="inlineStr">
        <is>
          <t>Lever (driver)</t>
        </is>
      </c>
      <c r="B6" s="19" t="inlineStr">
        <is>
          <t>conv 4% / churn 7%</t>
        </is>
      </c>
      <c r="C6" s="19" t="inlineStr">
        <is>
          <t>conv 6% / churn 5.5%</t>
        </is>
      </c>
      <c r="D6" s="19" t="inlineStr">
        <is>
          <t>conv 8% + 2 muni deals</t>
        </is>
      </c>
    </row>
    <row r="7">
      <c r="A7" s="7" t="inlineStr">
        <is>
          <t>Y3 revenue</t>
        </is>
      </c>
      <c r="B7" s="12">
        <f>Model!D10*B5</f>
        <v/>
      </c>
      <c r="C7" s="12">
        <f>Model!D10*C5</f>
        <v/>
      </c>
      <c r="D7" s="12">
        <f>Model!D10*D5</f>
        <v/>
      </c>
    </row>
    <row r="8">
      <c r="A8" s="7" t="inlineStr">
        <is>
          <t>Y3 COGS</t>
        </is>
      </c>
      <c r="B8" s="12">
        <f>Model!D16*B5</f>
        <v/>
      </c>
      <c r="C8" s="12">
        <f>Model!D16*C5</f>
        <v/>
      </c>
      <c r="D8" s="12">
        <f>Model!D16*D5</f>
        <v/>
      </c>
    </row>
    <row r="9">
      <c r="A9" s="7" t="inlineStr">
        <is>
          <t>Y3 OpEx (semi-fixed)</t>
        </is>
      </c>
      <c r="B9" s="12">
        <f>Model!D26</f>
        <v/>
      </c>
      <c r="C9" s="12">
        <f>Model!D26</f>
        <v/>
      </c>
      <c r="D9" s="12">
        <f>Model!D26</f>
        <v/>
      </c>
    </row>
    <row r="10">
      <c r="A10" s="13" t="inlineStr">
        <is>
          <t>Y3 EBITDA</t>
        </is>
      </c>
      <c r="B10" s="14">
        <f>B7-B8-B9</f>
        <v/>
      </c>
      <c r="C10" s="14">
        <f>C7-C8-C9</f>
        <v/>
      </c>
      <c r="D10" s="14">
        <f>D7-D8-D9</f>
        <v/>
      </c>
    </row>
    <row r="11">
      <c r="A11" s="7" t="inlineStr">
        <is>
          <t>Y3 EBITDA margin</t>
        </is>
      </c>
      <c r="B11" s="17">
        <f>B10/B7</f>
        <v/>
      </c>
      <c r="C11" s="17">
        <f>C10/C7</f>
        <v/>
      </c>
      <c r="D11" s="17">
        <f>D10/D7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2026-06-07T04:48:08Z</dcterms:created>
  <dcterms:modified xsi:type="dcterms:W3CDTF">2026-06-07T04:48:08Z</dcterms:modified>
</cp:coreProperties>
</file>